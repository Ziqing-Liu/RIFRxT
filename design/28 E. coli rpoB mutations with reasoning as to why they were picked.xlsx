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q-my.sharepoint.com/personal/s4844059_uq_edu_au/Documents/Documents/GitHub/RIFRxT/design/"/>
    </mc:Choice>
  </mc:AlternateContent>
  <xr:revisionPtr revIDLastSave="34" documentId="8_{AD7DF928-AB78-4287-BE49-5A27C72FE98B}" xr6:coauthVersionLast="47" xr6:coauthVersionMax="47" xr10:uidLastSave="{8BF15662-610F-4275-BA0B-5B08D6A271CC}"/>
  <bookViews>
    <workbookView minimized="1" xWindow="30225" yWindow="1335" windowWidth="21600" windowHeight="11295" firstSheet="1" activeTab="1" xr2:uid="{68D26516-A756-4642-87A8-6D8C56CEE8D1}"/>
  </bookViews>
  <sheets>
    <sheet name="overview" sheetId="1" r:id="rId1"/>
    <sheet name="28 Mutants that were picked" sheetId="7" r:id="rId2"/>
    <sheet name="Yang et al. 2023" sheetId="5" r:id="rId3"/>
    <sheet name="Qi et al. 2014" sheetId="6" r:id="rId4"/>
    <sheet name="data from Jin &amp; Gross 1989" sheetId="2" r:id="rId5"/>
    <sheet name="data from Morse et al. 1999" sheetId="3" r:id="rId6"/>
    <sheet name="data from Ghenu et al. 2024"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<sst xmlns="http://schemas.openxmlformats.org/spreadsheetml/2006/main" count="347" uniqueCount="152">
  <si>
    <t>Paper</t>
  </si>
  <si>
    <t>Year</t>
  </si>
  <si>
    <t>Methods</t>
  </si>
  <si>
    <t>Key finding</t>
  </si>
  <si>
    <t>Comments</t>
  </si>
  <si>
    <t>Jin &amp; Gross</t>
  </si>
  <si>
    <t>phenotyping 17 rpoB mutants</t>
  </si>
  <si>
    <t>some mutants didn't grow at high temperatures, some didn't grow at low temperatures, some at neither</t>
  </si>
  <si>
    <t>H526Y reported to be heat-sensitive, but is not in A. baylyi. However, H526D is heat-sensitive in A. baylyi (not screened though in this paper)</t>
  </si>
  <si>
    <t>Gifford et al.</t>
  </si>
  <si>
    <t>measured effect of temperature on competitive fitness of 3 rpoB RIFR mutants in P. aeruginosa</t>
  </si>
  <si>
    <t>fitness costs increased with temperature for all three mutants (H526C, Y &amp; R)</t>
  </si>
  <si>
    <t>H526Y overlaps with our study. No difference in competitive fitness in P. aeruginosa between 30 and 37C, in line with our growth rate estimates (maxOD higher in 30 than in 37C though).</t>
  </si>
  <si>
    <t>Rodriguez-Verdugo</t>
  </si>
  <si>
    <t>follow-up to experimental evolution of heat stress adaptation in E. coli</t>
  </si>
  <si>
    <t>Four RIFR mutations observed in heat-stress adapted populations: I572F, I572L, I572N, R143L.</t>
  </si>
  <si>
    <t>I572L and I572F overlapped with our panel, but neither showed pronounced GxE interactions in either species</t>
  </si>
  <si>
    <t>Morse et al. 1999</t>
  </si>
  <si>
    <t>characterisation of RIFR mutants in Listeria monocytogenes, characterising growth at 37 and 42C</t>
  </si>
  <si>
    <t>all mutants were heat-sensitive, but to varying degrees</t>
  </si>
  <si>
    <t>D516G grew very weakly at 42C, but grew fine in A. baylyi at 37C. H526Y grew weakly as well, but fine in A. baylyi at 37C</t>
  </si>
  <si>
    <t>Ghenu et al.</t>
  </si>
  <si>
    <t>three RIFR mutations screened for competitive growth at three temperatures, with different knockout mutations, and different drug concentrations</t>
  </si>
  <si>
    <t>epistasis between RIFR mutations and knockouts decreased with increasing drug concentration but not temperature</t>
  </si>
  <si>
    <t>hard to compare our data to theirs</t>
  </si>
  <si>
    <t>follow-up to 2013 paper; investigated growth characteristics and gene expression of rpoB mutants and their descendents that increased fitness at 42C</t>
  </si>
  <si>
    <t>no key new findings related to our study</t>
  </si>
  <si>
    <t>Gonzales-Gonzales</t>
  </si>
  <si>
    <t>investigated epistatic interactions involved in heat and cold stress between I572L and I572F mutations</t>
  </si>
  <si>
    <t xml:space="preserve">Yang et al. </t>
  </si>
  <si>
    <t>MAGE</t>
  </si>
  <si>
    <t>three mutations caused increased RNAP speed and less pausing, which increased their growth rate and maxOD compared to WT at 25C but not at 37C</t>
  </si>
  <si>
    <t>Sample ID</t>
  </si>
  <si>
    <t>AA mutant name E.coli</t>
  </si>
  <si>
    <t>Our A. bayli match</t>
  </si>
  <si>
    <t>Our L. plantarum match</t>
  </si>
  <si>
    <t xml:space="preserve">Journal/paper match </t>
  </si>
  <si>
    <t xml:space="preserve">Reason for Selection </t>
  </si>
  <si>
    <t>Journal Link</t>
  </si>
  <si>
    <t>YES</t>
  </si>
  <si>
    <t>NO</t>
  </si>
  <si>
    <t xml:space="preserve">Also found in our lab bayli mutant </t>
  </si>
  <si>
    <t xml:space="preserve">Also found in our lab plantarum mutant </t>
  </si>
  <si>
    <t>Found in both lab bayli and plantarum mutant</t>
  </si>
  <si>
    <t>M9</t>
  </si>
  <si>
    <t>R18</t>
  </si>
  <si>
    <t>rpoB_I572F</t>
  </si>
  <si>
    <t xml:space="preserve">Matched with another E. coli mutant </t>
  </si>
  <si>
    <t xml:space="preserve">(Rodríguez-Verdugo, 2013) doi:  10.1186/1471-2148-13-50 </t>
  </si>
  <si>
    <t>(Ozbilek, 2025) doi: 10.1093/molbev/msaf227</t>
  </si>
  <si>
    <t xml:space="preserve">Matched with another T.b mutant </t>
  </si>
  <si>
    <t>(Ali, 2018) https://applications.emro.who.int/imemrf/Pak_J_Med_Res/Pak_J_Med_Res_2018_57_1_14_19.pdf</t>
  </si>
  <si>
    <t>Matched with another T.b mutant</t>
  </si>
  <si>
    <t>(Hirano, 1999) doi: 10.1128/jcm.37.8.2663-2666.1999</t>
  </si>
  <si>
    <t>(Al-Mutairi, 2019) doi: https://doi.org/10.1186/s12879-018-3638-z</t>
  </si>
  <si>
    <t>(Takawira, 2017) doi:10.11604/pamj.2017.27.145.10884</t>
  </si>
  <si>
    <t>Matched with another E. coli mutant</t>
  </si>
  <si>
    <t>(Severinovz, 1992) https://www.jbc.org/article/S0021-9258(18)82407-3/pdf</t>
  </si>
  <si>
    <t xml:space="preserve">Matched with another S. Typhi mutant </t>
  </si>
  <si>
    <t>(Lee, 2025) doi: https://doi.org/10.1016/j.ebiom.2025.105788</t>
  </si>
  <si>
    <t>(Huang, 2014) doi: 10.1111/1469-0691.12517</t>
  </si>
  <si>
    <t>(Miropolskaya, 2022) doi: https://doi.org/10.1016/j.jbc.2022.102099</t>
  </si>
  <si>
    <t xml:space="preserve">Matched with another R. equi mutant </t>
  </si>
  <si>
    <t>(Álvarez-Narváez, 2021) doi: https://doi.org/10.3201/eid2702.203030</t>
  </si>
  <si>
    <t>(Zhou, 2012) doi: 10.1074/jbc.M112.429464</t>
  </si>
  <si>
    <t xml:space="preserve">(Szalewska-Palasz, 2007) doi: 10.1074/jbc.M610181200 </t>
  </si>
  <si>
    <t>M0</t>
  </si>
  <si>
    <t>WT</t>
  </si>
  <si>
    <t>MG1655</t>
  </si>
  <si>
    <t>Mutation</t>
  </si>
  <si>
    <t>RNAP speed</t>
  </si>
  <si>
    <t>25C</t>
  </si>
  <si>
    <t>37C</t>
  </si>
  <si>
    <t>42C</t>
  </si>
  <si>
    <t>Our_panel_Ecoli</t>
  </si>
  <si>
    <t>Our_panel_Abaylyi</t>
  </si>
  <si>
    <t>Our_panel_Lplantarum</t>
  </si>
  <si>
    <t>515Y</t>
  </si>
  <si>
    <t>fast</t>
  </si>
  <si>
    <t>&gt;WT</t>
  </si>
  <si>
    <t>=WT</t>
  </si>
  <si>
    <t>&lt;WT</t>
  </si>
  <si>
    <t>no</t>
  </si>
  <si>
    <t>yes</t>
  </si>
  <si>
    <t>526V</t>
  </si>
  <si>
    <t>527W</t>
  </si>
  <si>
    <t>526Y</t>
  </si>
  <si>
    <t>&lt;WT (Yin &amp; Gross)</t>
  </si>
  <si>
    <t>513P</t>
  </si>
  <si>
    <t>slow (15,47)</t>
  </si>
  <si>
    <t>Mutation (Pseudomonas)</t>
  </si>
  <si>
    <t>Mutation (Ecoli)</t>
  </si>
  <si>
    <t>Transcriptional efficiency</t>
  </si>
  <si>
    <t>Q518L</t>
  </si>
  <si>
    <t>Q513L</t>
  </si>
  <si>
    <t>Q518R</t>
  </si>
  <si>
    <t>Q513R</t>
  </si>
  <si>
    <t>D521G</t>
  </si>
  <si>
    <t>D516G</t>
  </si>
  <si>
    <t>D521N</t>
  </si>
  <si>
    <t>D516N</t>
  </si>
  <si>
    <t>H531L</t>
  </si>
  <si>
    <t>H526L</t>
  </si>
  <si>
    <t>H531R</t>
  </si>
  <si>
    <t>H526R</t>
  </si>
  <si>
    <t>H531Y</t>
  </si>
  <si>
    <t>H526Y</t>
  </si>
  <si>
    <t>&lt;-- contradicts Yang et al?</t>
  </si>
  <si>
    <t>S536F</t>
  </si>
  <si>
    <t>S531F</t>
  </si>
  <si>
    <t>S579F</t>
  </si>
  <si>
    <t>S574F</t>
  </si>
  <si>
    <t>RIFR_allele</t>
  </si>
  <si>
    <t>Cluster</t>
  </si>
  <si>
    <t>AA_pos</t>
  </si>
  <si>
    <t>AA_mutation</t>
  </si>
  <si>
    <t>Growth_20C</t>
  </si>
  <si>
    <t>Growth_44C</t>
  </si>
  <si>
    <t>I</t>
  </si>
  <si>
    <t>507-511</t>
  </si>
  <si>
    <t>GSSQL517_511V</t>
  </si>
  <si>
    <t>-</t>
  </si>
  <si>
    <t>+</t>
  </si>
  <si>
    <t>Q513P</t>
  </si>
  <si>
    <t>D516V</t>
  </si>
  <si>
    <t>DQ insertion</t>
  </si>
  <si>
    <t>S522F</t>
  </si>
  <si>
    <t>R529C</t>
  </si>
  <si>
    <t>R529S</t>
  </si>
  <si>
    <t>deletion of A</t>
  </si>
  <si>
    <t>L533P</t>
  </si>
  <si>
    <t>II</t>
  </si>
  <si>
    <t>T563P</t>
  </si>
  <si>
    <t>P564L</t>
  </si>
  <si>
    <t>+/-</t>
  </si>
  <si>
    <t>I572F</t>
  </si>
  <si>
    <t>R687H</t>
  </si>
  <si>
    <t>AA_pos_Ecoli</t>
  </si>
  <si>
    <t>AA_mutation_Ecoli</t>
  </si>
  <si>
    <t>Growth_42C</t>
  </si>
  <si>
    <t>very weak</t>
  </si>
  <si>
    <t>G522D</t>
  </si>
  <si>
    <t>normal</t>
  </si>
  <si>
    <t>weak</t>
  </si>
  <si>
    <t>none</t>
  </si>
  <si>
    <t>original position 528, but seems wrong</t>
  </si>
  <si>
    <t>6,17</t>
  </si>
  <si>
    <t>S574Y</t>
  </si>
  <si>
    <t>original position 530, but seems wrong</t>
  </si>
  <si>
    <t>Findings</t>
  </si>
  <si>
    <t>S512F</t>
  </si>
  <si>
    <t>I572S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</si>
</sst>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sz val="12"/>
      <color theme="1"/>
      <name val="Aptos Narrow"/>
      <family val="2"/>
      <scheme val="minor"/>
    </font>
    <font>
      <sz val="11"/>
      <color rgb="FF000000"/>
      <name val="Aptos Narrow"/>
      <family val="2"/>
    </font>
    <font>
      <sz val="12"/>
      <color rgb="FF000000"/>
      <name val="Aptos Narrow"/>
      <family val="2"/>
      <scheme val="minor"/>
    </font>
    <font>
      <b/>
      <sz val="12"/>
      <color theme="1"/>
      <name val="Aptos Narrow"/>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0" fillId="0" borderId="0" xfId="0" applyAlignment="1">
      <alignment vertical="top" wrapText="1"/>
    </xf>
    <xf numFmtId="0" fontId="2" fillId="0" borderId="0" xfId="0" applyFont="1"/>
    <xf numFmtId="0" fontId="0" fillId="0" borderId="0" xfId="0" quotePrefix="1"/>
    <xf numFmtId="0" fontId="0" fillId="0" borderId="0" xfId="0" applyAlignment="1">
      <alignment horizontal="right"/>
    </xf>
    <xf numFmtId="0" fontId="0" fillId="2" borderId="0" xfId="0" applyFill="1"/>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1" xfId="0" applyBorder="1"/>
    <xf numFmtId="0" fontId="1" fillId="0" borderId="1" xfId="0" applyFont="1" applyBorder="1"/>
    <xf numFmtId="0" fontId="3" fillId="0" borderId="1" xfId="0" applyFont="1" applyBorder="1"/>
    <xf numFmtId="0" fontId="0" fillId="3" borderId="1" xfId="0" applyFill="1" applyBorder="1"/>
    <xf numFmtId="0" fontId="5" fillId="0" borderId="1" xfId="0" applyFont="1" applyBorder="1"/>
    <xf numFmtId="0" fontId="4" fillId="3" borderId="1" xfId="0" applyFont="1" applyFill="1" applyBorder="1"/>
    <xf numFmtId="0" fontId="0" fillId="0" borderId="2" xfId="0" applyBorder="1"/>
    <xf numFmtId="0" fontId="3" fillId="0" borderId="2" xfId="0" applyFont="1" applyBorder="1"/>
    <xf numFmtId="0" fontId="0" fillId="3" borderId="2" xfId="0" applyFill="1" applyBorder="1"/>
    <xf numFmtId="0" fontId="6" fillId="0" borderId="0" xfId="0" applyFont="1"/>
    <xf numFmtId="0" fontId="6" fillId="0" borderId="1" xfId="0" applyFont="1" applyBorder="1"/>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99EB-1148-DD44-80E8-782CAF4AAEDB}">
  <dimension ref="A1:E9"/>
  <sheetViews>
    <sheetView zoomScale="150" zoomScaleNormal="150" workbookViewId="0">
      <selection activeCell="E9" sqref="E9"/>
    </sheetView>
  </sheetViews>
  <sheetFormatPr defaultColWidth="10.875" defaultRowHeight="15.75" x14ac:dyDescent="0.25"/>
  <cols>
    <col min="1" max="1" width="35" style="9" customWidth="1"/>
    <col min="2" max="2" width="7.625" style="9" customWidth="1"/>
    <col min="3" max="3" width="40.875" style="2" customWidth="1"/>
    <col min="4" max="4" width="57.625" style="2" customWidth="1"/>
    <col min="5" max="5" width="38.375" style="2" customWidth="1"/>
    <col min="6" max="16384" width="10.875" style="9"/>
  </cols>
  <sheetData>
    <row r="1" spans="1:5" x14ac:dyDescent="0.25">
      <c r="A1" s="7" t="s">
        <v>0</v>
      </c>
      <c r="B1" s="7" t="s">
        <v>1</v>
      </c>
      <c r="C1" s="8" t="s">
        <v>2</v>
      </c>
      <c r="D1" s="8" t="s">
        <v>3</v>
      </c>
      <c r="E1" s="8" t="s">
        <v>4</v>
      </c>
    </row>
    <row r="2" spans="1:5" ht="63" x14ac:dyDescent="0.25">
      <c r="A2" s="2" t="s">
        <v>5</v>
      </c>
      <c r="B2" s="2">
        <v>1989</v>
      </c>
      <c r="C2" s="2" t="s">
        <v>6</v>
      </c>
      <c r="D2" s="2" t="s">
        <v>7</v>
      </c>
      <c r="E2" s="2" t="s">
        <v>8</v>
      </c>
    </row>
    <row r="3" spans="1:5" ht="69.95" customHeight="1" x14ac:dyDescent="0.25">
      <c r="A3" s="9" t="s">
        <v>9</v>
      </c>
      <c r="B3" s="9">
        <v>2016</v>
      </c>
      <c r="C3" s="2" t="s">
        <v>10</v>
      </c>
      <c r="D3" s="2" t="s">
        <v>11</v>
      </c>
      <c r="E3" s="2" t="s">
        <v>12</v>
      </c>
    </row>
    <row r="4" spans="1:5" ht="47.25" x14ac:dyDescent="0.25">
      <c r="A4" s="9" t="s">
        <v>13</v>
      </c>
      <c r="B4" s="9">
        <v>2013</v>
      </c>
      <c r="C4" s="2" t="s">
        <v>14</v>
      </c>
      <c r="D4" s="2" t="s">
        <v>15</v>
      </c>
      <c r="E4" s="2" t="s">
        <v>16</v>
      </c>
    </row>
    <row r="5" spans="1:5" ht="47.25" x14ac:dyDescent="0.25">
      <c r="A5" s="9" t="s">
        <v>17</v>
      </c>
      <c r="B5" s="9">
        <v>1999</v>
      </c>
      <c r="C5" s="2" t="s">
        <v>18</v>
      </c>
      <c r="D5" s="2" t="s">
        <v>19</v>
      </c>
      <c r="E5" s="2" t="s">
        <v>20</v>
      </c>
    </row>
    <row r="6" spans="1:5" ht="63" x14ac:dyDescent="0.25">
      <c r="A6" s="9" t="s">
        <v>21</v>
      </c>
      <c r="B6" s="9">
        <v>2023</v>
      </c>
      <c r="C6" s="2" t="s">
        <v>22</v>
      </c>
      <c r="D6" s="2" t="s">
        <v>23</v>
      </c>
      <c r="E6" s="2" t="s">
        <v>24</v>
      </c>
    </row>
    <row r="7" spans="1:5" ht="63" x14ac:dyDescent="0.25">
      <c r="A7" s="9" t="s">
        <v>13</v>
      </c>
      <c r="B7" s="9">
        <v>2016</v>
      </c>
      <c r="C7" s="2" t="s">
        <v>25</v>
      </c>
      <c r="E7" s="2" t="s">
        <v>26</v>
      </c>
    </row>
    <row r="8" spans="1:5" ht="47.25" x14ac:dyDescent="0.25">
      <c r="A8" s="9" t="s">
        <v>27</v>
      </c>
      <c r="B8" s="9">
        <v>2024</v>
      </c>
      <c r="C8" s="2" t="s">
        <v>28</v>
      </c>
      <c r="E8" s="2" t="s">
        <v>26</v>
      </c>
    </row>
    <row r="9" spans="1:5" ht="47.25" x14ac:dyDescent="0.25">
      <c r="A9" s="9" t="s">
        <v>29</v>
      </c>
      <c r="B9" s="9">
        <v>2024</v>
      </c>
      <c r="C9" s="2" t="s">
        <v>30</v>
      </c>
      <c r="D9" s="2"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531C-2BD0-4376-BF32-F94025ED5114}">
  <dimension ref="A1:I30"/>
  <sheetViews>
    <sheetView tabSelected="1" workbookViewId="0">
      <selection activeCell="C30" sqref="C30"/>
    </sheetView>
  </sheetViews>
  <sheetFormatPr defaultRowHeight="15.75" x14ac:dyDescent="0.25"/>
  <cols>
    <col min="2" max="2" width="10.625" customWidth="1"/>
    <col min="3" max="3" width="20.5" customWidth="1"/>
    <col min="4" max="4" width="17.875" customWidth="1"/>
    <col min="5" max="5" width="18.625" customWidth="1"/>
    <col min="6" max="6" width="21.625" customWidth="1"/>
    <col min="7" max="7" width="20.5" customWidth="1"/>
    <col min="8" max="8" width="39.25" customWidth="1"/>
    <col min="9" max="9" width="87.875" customWidth="1"/>
  </cols>
  <sheetData>
    <row r="1" spans="1:9" x14ac:dyDescent="0.25">
      <c r="A1" s="11"/>
      <c r="B1" s="11" t="s">
        <v>32</v>
      </c>
      <c r="C1" s="14" t="s">
        <v>33</v>
      </c>
      <c r="D1" s="14"/>
      <c r="E1" s="14" t="s">
        <v>34</v>
      </c>
      <c r="F1" s="14" t="s">
        <v>35</v>
      </c>
      <c r="G1" s="14" t="s">
        <v>36</v>
      </c>
      <c r="H1" s="14" t="s">
        <v>37</v>
      </c>
      <c r="I1" s="14" t="s">
        <v>38</v>
      </c>
    </row>
    <row r="2" spans="1:9" x14ac:dyDescent="0.25">
      <c r="A2" s="10"/>
      <c r="B2" s="10"/>
      <c r="C2" s="12"/>
      <c r="D2" s="12"/>
      <c r="E2" s="15" t="s">
        <v>39</v>
      </c>
      <c r="F2" s="13" t="s">
        <v>40</v>
      </c>
      <c r="G2" s="13"/>
      <c r="H2" s="10" t="s">
        <v>41</v>
      </c>
      <c r="I2" s="10"/>
    </row>
    <row r="3" spans="1:9" x14ac:dyDescent="0.25">
      <c r="A3" s="10"/>
      <c r="C3" s="12"/>
      <c r="D3" s="12"/>
      <c r="E3" s="15" t="s">
        <v>39</v>
      </c>
      <c r="F3" s="13" t="s">
        <v>40</v>
      </c>
      <c r="G3" s="13"/>
      <c r="H3" s="10" t="s">
        <v>41</v>
      </c>
      <c r="I3" s="10"/>
    </row>
    <row r="4" spans="1:9" x14ac:dyDescent="0.25">
      <c r="A4" s="10"/>
      <c r="B4" s="10"/>
      <c r="C4" s="12"/>
      <c r="D4" s="12"/>
      <c r="E4" s="15" t="s">
        <v>39</v>
      </c>
      <c r="F4" s="13" t="s">
        <v>40</v>
      </c>
      <c r="G4" s="13"/>
      <c r="H4" s="10" t="s">
        <v>41</v>
      </c>
      <c r="I4" s="10"/>
    </row>
    <row r="5" spans="1:9" x14ac:dyDescent="0.25">
      <c r="A5" s="10"/>
      <c r="B5" s="10"/>
      <c r="C5" s="12"/>
      <c r="D5" s="12"/>
      <c r="E5" s="13" t="s">
        <v>40</v>
      </c>
      <c r="F5" s="13" t="s">
        <v>39</v>
      </c>
      <c r="G5" s="13"/>
      <c r="H5" s="10" t="s">
        <v>42</v>
      </c>
      <c r="I5" s="10"/>
    </row>
    <row r="6" spans="1:9" x14ac:dyDescent="0.25">
      <c r="A6" s="10"/>
      <c r="B6" s="10"/>
      <c r="C6" s="12"/>
      <c r="D6" s="12"/>
      <c r="E6" s="13" t="s">
        <v>40</v>
      </c>
      <c r="F6" s="13" t="s">
        <v>39</v>
      </c>
      <c r="G6" s="13"/>
      <c r="H6" s="10" t="s">
        <v>42</v>
      </c>
      <c r="I6" s="10"/>
    </row>
    <row r="7" spans="1:9" x14ac:dyDescent="0.25">
      <c r="A7" s="10"/>
      <c r="B7" s="10"/>
      <c r="C7" s="12"/>
      <c r="D7" s="12"/>
      <c r="E7" s="13" t="s">
        <v>39</v>
      </c>
      <c r="F7" s="13" t="s">
        <v>40</v>
      </c>
      <c r="G7" s="13"/>
      <c r="H7" s="10" t="s">
        <v>41</v>
      </c>
      <c r="I7" s="10"/>
    </row>
    <row r="8" spans="1:9" x14ac:dyDescent="0.25">
      <c r="A8" s="10"/>
      <c r="B8" s="10"/>
      <c r="C8" s="12"/>
      <c r="D8" s="12"/>
      <c r="E8" s="13" t="s">
        <v>39</v>
      </c>
      <c r="F8" s="13" t="s">
        <v>39</v>
      </c>
      <c r="G8" s="13"/>
      <c r="H8" s="10" t="s">
        <v>43</v>
      </c>
      <c r="I8" s="10"/>
    </row>
    <row r="9" spans="1:9" x14ac:dyDescent="0.25">
      <c r="A9" s="10"/>
      <c r="B9" s="10"/>
      <c r="C9" s="12"/>
      <c r="D9" s="12"/>
      <c r="E9" s="13" t="s">
        <v>39</v>
      </c>
      <c r="F9" s="13" t="s">
        <v>39</v>
      </c>
      <c r="G9" s="13"/>
      <c r="H9" s="10" t="s">
        <v>43</v>
      </c>
      <c r="I9" s="10"/>
    </row>
    <row r="10" spans="1:9" x14ac:dyDescent="0.25">
      <c r="A10" s="10"/>
      <c r="B10" s="10"/>
      <c r="C10" s="12"/>
      <c r="D10" s="12"/>
      <c r="E10" s="13" t="s">
        <v>39</v>
      </c>
      <c r="F10" s="13" t="s">
        <v>40</v>
      </c>
      <c r="G10" s="13"/>
      <c r="H10" s="10" t="s">
        <v>41</v>
      </c>
      <c r="I10" s="10"/>
    </row>
    <row r="11" spans="1:9" x14ac:dyDescent="0.25">
      <c r="A11" s="10"/>
      <c r="B11" s="10"/>
      <c r="C11" s="12"/>
      <c r="D11" s="12"/>
      <c r="E11" s="13" t="s">
        <v>40</v>
      </c>
      <c r="F11" s="13" t="s">
        <v>39</v>
      </c>
      <c r="G11" s="13"/>
      <c r="H11" s="10" t="s">
        <v>42</v>
      </c>
      <c r="I11" s="10"/>
    </row>
    <row r="12" spans="1:9" x14ac:dyDescent="0.25">
      <c r="A12" s="10"/>
      <c r="B12" s="10"/>
      <c r="C12" s="12"/>
      <c r="D12" s="12"/>
      <c r="E12" s="13" t="s">
        <v>40</v>
      </c>
      <c r="F12" s="13" t="s">
        <v>39</v>
      </c>
      <c r="G12" s="13"/>
      <c r="H12" s="10" t="s">
        <v>42</v>
      </c>
      <c r="I12" s="10"/>
    </row>
    <row r="13" spans="1:9" x14ac:dyDescent="0.25">
      <c r="A13" s="10"/>
      <c r="B13" s="10"/>
      <c r="C13" s="12"/>
      <c r="D13" s="12"/>
      <c r="E13" s="13" t="s">
        <v>39</v>
      </c>
      <c r="F13" s="13" t="s">
        <v>40</v>
      </c>
      <c r="G13" s="13"/>
      <c r="H13" s="10" t="s">
        <v>43</v>
      </c>
      <c r="I13" s="10"/>
    </row>
    <row r="14" spans="1:9" x14ac:dyDescent="0.25">
      <c r="A14" s="10"/>
      <c r="B14" s="10"/>
      <c r="C14" s="12"/>
      <c r="D14" s="12"/>
      <c r="E14" s="13" t="s">
        <v>39</v>
      </c>
      <c r="F14" s="13" t="s">
        <v>40</v>
      </c>
      <c r="G14" s="13"/>
      <c r="H14" s="10" t="s">
        <v>43</v>
      </c>
      <c r="I14" s="10"/>
    </row>
    <row r="15" spans="1:9" x14ac:dyDescent="0.25">
      <c r="A15" s="10" t="s">
        <v>44</v>
      </c>
      <c r="B15" s="10" t="s">
        <v>45</v>
      </c>
      <c r="C15" s="12" t="s">
        <v>46</v>
      </c>
      <c r="D15" s="12"/>
      <c r="E15" s="13"/>
      <c r="F15" s="13"/>
      <c r="G15" s="13" t="s">
        <v>39</v>
      </c>
      <c r="H15" s="10" t="s">
        <v>47</v>
      </c>
      <c r="I15" s="10" t="s">
        <v>48</v>
      </c>
    </row>
    <row r="16" spans="1:9" x14ac:dyDescent="0.25">
      <c r="A16" s="10"/>
      <c r="B16" s="10"/>
      <c r="C16" s="12"/>
      <c r="D16" s="12"/>
      <c r="E16" s="13"/>
      <c r="F16" s="13"/>
      <c r="G16" s="13" t="s">
        <v>39</v>
      </c>
      <c r="H16" s="10" t="s">
        <v>47</v>
      </c>
      <c r="I16" s="10" t="s">
        <v>49</v>
      </c>
    </row>
    <row r="17" spans="1:9" x14ac:dyDescent="0.25">
      <c r="A17" s="10"/>
      <c r="B17" s="10"/>
      <c r="C17" s="12"/>
      <c r="D17" s="12"/>
      <c r="E17" s="13"/>
      <c r="F17" s="13"/>
      <c r="G17" s="13" t="s">
        <v>39</v>
      </c>
      <c r="H17" s="10" t="s">
        <v>50</v>
      </c>
      <c r="I17" s="10" t="s">
        <v>51</v>
      </c>
    </row>
    <row r="18" spans="1:9" x14ac:dyDescent="0.25">
      <c r="A18" s="10"/>
      <c r="B18" s="16"/>
      <c r="C18" s="12"/>
      <c r="D18" s="12"/>
      <c r="E18" s="13"/>
      <c r="F18" s="13"/>
      <c r="G18" s="13" t="s">
        <v>39</v>
      </c>
      <c r="H18" s="10" t="s">
        <v>52</v>
      </c>
      <c r="I18" s="10" t="s">
        <v>51</v>
      </c>
    </row>
    <row r="19" spans="1:9" x14ac:dyDescent="0.25">
      <c r="A19" s="22"/>
      <c r="B19" s="20"/>
      <c r="C19" s="19"/>
      <c r="D19" s="12"/>
      <c r="E19" s="13"/>
      <c r="F19" s="13"/>
      <c r="G19" s="13" t="s">
        <v>39</v>
      </c>
      <c r="H19" s="10" t="s">
        <v>52</v>
      </c>
      <c r="I19" s="10" t="s">
        <v>53</v>
      </c>
    </row>
    <row r="20" spans="1:9" x14ac:dyDescent="0.25">
      <c r="A20" s="10"/>
      <c r="B20" s="21"/>
      <c r="C20" s="12"/>
      <c r="D20" s="12"/>
      <c r="E20" s="13"/>
      <c r="F20" s="13"/>
      <c r="G20" s="13" t="s">
        <v>39</v>
      </c>
      <c r="H20" s="10" t="s">
        <v>52</v>
      </c>
      <c r="I20" s="10" t="s">
        <v>54</v>
      </c>
    </row>
    <row r="21" spans="1:9" x14ac:dyDescent="0.25">
      <c r="A21" s="10"/>
      <c r="B21" s="10"/>
      <c r="C21" s="12"/>
      <c r="D21" s="12"/>
      <c r="E21" s="13"/>
      <c r="F21" s="13"/>
      <c r="G21" s="13" t="s">
        <v>39</v>
      </c>
      <c r="H21" s="10" t="s">
        <v>50</v>
      </c>
      <c r="I21" s="10" t="s">
        <v>55</v>
      </c>
    </row>
    <row r="22" spans="1:9" x14ac:dyDescent="0.25">
      <c r="A22" s="10"/>
      <c r="B22" s="10"/>
      <c r="C22" s="12"/>
      <c r="D22" s="12"/>
      <c r="E22" s="13"/>
      <c r="F22" s="13"/>
      <c r="G22" s="13" t="s">
        <v>39</v>
      </c>
      <c r="H22" s="10" t="s">
        <v>56</v>
      </c>
      <c r="I22" s="10" t="s">
        <v>57</v>
      </c>
    </row>
    <row r="23" spans="1:9" x14ac:dyDescent="0.25">
      <c r="A23" s="10"/>
      <c r="B23" s="10"/>
      <c r="C23" s="12"/>
      <c r="D23" s="12"/>
      <c r="E23" s="13"/>
      <c r="F23" s="13"/>
      <c r="G23" s="13" t="s">
        <v>39</v>
      </c>
      <c r="H23" s="10" t="s">
        <v>58</v>
      </c>
      <c r="I23" s="10" t="s">
        <v>59</v>
      </c>
    </row>
    <row r="24" spans="1:9" x14ac:dyDescent="0.25">
      <c r="A24" s="10"/>
      <c r="B24" s="10"/>
      <c r="C24" s="12"/>
      <c r="D24" s="12"/>
      <c r="E24" s="13"/>
      <c r="F24" s="13"/>
      <c r="G24" s="13" t="s">
        <v>39</v>
      </c>
      <c r="H24" s="10" t="s">
        <v>52</v>
      </c>
      <c r="I24" s="10" t="s">
        <v>60</v>
      </c>
    </row>
    <row r="25" spans="1:9" x14ac:dyDescent="0.25">
      <c r="A25" s="10"/>
      <c r="B25" s="10"/>
      <c r="C25" s="12"/>
      <c r="D25" s="12"/>
      <c r="E25" s="13"/>
      <c r="F25" s="13"/>
      <c r="G25" s="13" t="s">
        <v>39</v>
      </c>
      <c r="H25" s="10" t="s">
        <v>56</v>
      </c>
      <c r="I25" s="10" t="s">
        <v>61</v>
      </c>
    </row>
    <row r="26" spans="1:9" x14ac:dyDescent="0.25">
      <c r="A26" s="10"/>
      <c r="B26" s="10"/>
      <c r="C26" s="12"/>
      <c r="D26" s="12"/>
      <c r="E26" s="13"/>
      <c r="F26" s="13"/>
      <c r="G26" s="13" t="s">
        <v>39</v>
      </c>
      <c r="H26" s="10" t="s">
        <v>62</v>
      </c>
      <c r="I26" s="10" t="s">
        <v>63</v>
      </c>
    </row>
    <row r="27" spans="1:9" x14ac:dyDescent="0.25">
      <c r="A27" s="10"/>
      <c r="B27" s="10"/>
      <c r="C27" s="12"/>
      <c r="D27" s="12"/>
      <c r="E27" s="13"/>
      <c r="F27" s="13"/>
      <c r="G27" s="13" t="s">
        <v>39</v>
      </c>
      <c r="H27" s="10" t="s">
        <v>56</v>
      </c>
      <c r="I27" s="10" t="s">
        <v>64</v>
      </c>
    </row>
    <row r="28" spans="1:9" x14ac:dyDescent="0.25">
      <c r="A28" s="16"/>
      <c r="B28" s="16"/>
      <c r="C28" s="17"/>
      <c r="D28" s="17"/>
      <c r="E28" s="18"/>
      <c r="F28" s="18"/>
      <c r="G28" s="18" t="s">
        <v>39</v>
      </c>
      <c r="H28" s="16" t="s">
        <v>56</v>
      </c>
      <c r="I28" s="16" t="s">
        <v>65</v>
      </c>
    </row>
    <row r="29" spans="1:9" x14ac:dyDescent="0.25">
      <c r="A29" s="16"/>
      <c r="B29" s="16"/>
      <c r="C29" s="17"/>
      <c r="D29" s="17"/>
      <c r="E29" s="18"/>
      <c r="F29" s="18"/>
      <c r="G29" s="18" t="s">
        <v>39</v>
      </c>
      <c r="H29" s="16" t="s">
        <v>56</v>
      </c>
      <c r="I29" s="16" t="s">
        <v>64</v>
      </c>
    </row>
    <row r="30" spans="1:9" x14ac:dyDescent="0.25">
      <c r="A30" s="10" t="s">
        <v>66</v>
      </c>
      <c r="B30" s="10" t="s">
        <v>67</v>
      </c>
      <c r="C30" s="10" t="s">
        <v>68</v>
      </c>
      <c r="D30" s="10"/>
      <c r="E30" s="10"/>
      <c r="F30" s="10"/>
      <c r="G30" s="10"/>
      <c r="H30" s="10"/>
      <c r="I3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1C1B-0FAA-5C4C-910E-E0951473E4DB}">
  <dimension ref="A1:H6"/>
  <sheetViews>
    <sheetView zoomScale="140" zoomScaleNormal="140" workbookViewId="0"/>
  </sheetViews>
  <sheetFormatPr defaultColWidth="11" defaultRowHeight="15.75" x14ac:dyDescent="0.25"/>
  <cols>
    <col min="1" max="1" width="10.375" customWidth="1"/>
    <col min="2" max="2" width="17.125" customWidth="1"/>
    <col min="3" max="5" width="9.125" customWidth="1"/>
    <col min="6" max="6" width="16.375" customWidth="1"/>
    <col min="7" max="7" width="20.5" customWidth="1"/>
    <col min="8" max="8" width="19.875" customWidth="1"/>
  </cols>
  <sheetData>
    <row r="1" spans="1:8" x14ac:dyDescent="0.25">
      <c r="A1" s="1" t="s">
        <v>69</v>
      </c>
      <c r="B1" s="1" t="s">
        <v>70</v>
      </c>
      <c r="C1" s="1" t="s">
        <v>71</v>
      </c>
      <c r="D1" s="1" t="s">
        <v>72</v>
      </c>
      <c r="E1" s="1" t="s">
        <v>73</v>
      </c>
      <c r="F1" s="1" t="s">
        <v>74</v>
      </c>
      <c r="G1" s="1" t="s">
        <v>75</v>
      </c>
      <c r="H1" s="1" t="s">
        <v>76</v>
      </c>
    </row>
    <row r="2" spans="1:8" x14ac:dyDescent="0.25">
      <c r="A2" t="s">
        <v>77</v>
      </c>
      <c r="B2" t="s">
        <v>78</v>
      </c>
      <c r="C2" t="s">
        <v>79</v>
      </c>
      <c r="D2" s="4" t="s">
        <v>80</v>
      </c>
      <c r="E2" t="s">
        <v>81</v>
      </c>
      <c r="F2" t="s">
        <v>82</v>
      </c>
      <c r="G2" t="s">
        <v>82</v>
      </c>
      <c r="H2" t="s">
        <v>83</v>
      </c>
    </row>
    <row r="3" spans="1:8" x14ac:dyDescent="0.25">
      <c r="A3" t="s">
        <v>84</v>
      </c>
      <c r="B3" t="s">
        <v>78</v>
      </c>
      <c r="C3" t="s">
        <v>79</v>
      </c>
      <c r="D3" s="4" t="s">
        <v>80</v>
      </c>
      <c r="E3" s="4" t="s">
        <v>80</v>
      </c>
      <c r="F3" t="s">
        <v>82</v>
      </c>
      <c r="G3" t="s">
        <v>82</v>
      </c>
      <c r="H3" t="s">
        <v>82</v>
      </c>
    </row>
    <row r="4" spans="1:8" x14ac:dyDescent="0.25">
      <c r="A4" t="s">
        <v>85</v>
      </c>
      <c r="B4" t="s">
        <v>78</v>
      </c>
      <c r="C4" t="s">
        <v>79</v>
      </c>
      <c r="D4" s="4" t="s">
        <v>80</v>
      </c>
      <c r="E4" t="s">
        <v>81</v>
      </c>
      <c r="F4" t="s">
        <v>82</v>
      </c>
      <c r="G4" t="s">
        <v>82</v>
      </c>
      <c r="H4" t="s">
        <v>82</v>
      </c>
    </row>
    <row r="5" spans="1:8" x14ac:dyDescent="0.25">
      <c r="A5" t="s">
        <v>86</v>
      </c>
      <c r="B5" t="s">
        <v>78</v>
      </c>
      <c r="E5" t="s">
        <v>87</v>
      </c>
      <c r="F5" t="s">
        <v>83</v>
      </c>
      <c r="G5" t="s">
        <v>83</v>
      </c>
      <c r="H5" t="s">
        <v>83</v>
      </c>
    </row>
    <row r="6" spans="1:8" x14ac:dyDescent="0.25">
      <c r="A6" t="s">
        <v>88</v>
      </c>
      <c r="B6"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CB9A-A7C8-E24B-98A1-EE6A17216B79}">
  <dimension ref="A1:D10"/>
  <sheetViews>
    <sheetView zoomScale="150" zoomScaleNormal="150" workbookViewId="0">
      <selection activeCell="D8" sqref="D8"/>
    </sheetView>
  </sheetViews>
  <sheetFormatPr defaultColWidth="11" defaultRowHeight="15.75" x14ac:dyDescent="0.25"/>
  <cols>
    <col min="1" max="2" width="25.625" customWidth="1"/>
    <col min="3" max="3" width="25.5" customWidth="1"/>
  </cols>
  <sheetData>
    <row r="1" spans="1:4" x14ac:dyDescent="0.25">
      <c r="A1" s="1" t="s">
        <v>90</v>
      </c>
      <c r="B1" s="1" t="s">
        <v>91</v>
      </c>
      <c r="C1" s="1" t="s">
        <v>92</v>
      </c>
    </row>
    <row r="2" spans="1:4" x14ac:dyDescent="0.25">
      <c r="A2" t="s">
        <v>93</v>
      </c>
      <c r="B2" t="s">
        <v>94</v>
      </c>
      <c r="C2" t="s">
        <v>81</v>
      </c>
    </row>
    <row r="3" spans="1:4" x14ac:dyDescent="0.25">
      <c r="A3" t="s">
        <v>95</v>
      </c>
      <c r="B3" t="s">
        <v>96</v>
      </c>
      <c r="C3" t="s">
        <v>81</v>
      </c>
    </row>
    <row r="4" spans="1:4" x14ac:dyDescent="0.25">
      <c r="A4" t="s">
        <v>97</v>
      </c>
      <c r="B4" t="s">
        <v>98</v>
      </c>
      <c r="C4" t="s">
        <v>81</v>
      </c>
    </row>
    <row r="5" spans="1:4" x14ac:dyDescent="0.25">
      <c r="A5" t="s">
        <v>99</v>
      </c>
      <c r="B5" t="s">
        <v>100</v>
      </c>
      <c r="C5" t="s">
        <v>81</v>
      </c>
    </row>
    <row r="6" spans="1:4" x14ac:dyDescent="0.25">
      <c r="A6" t="s">
        <v>101</v>
      </c>
      <c r="B6" t="s">
        <v>102</v>
      </c>
      <c r="C6" t="s">
        <v>81</v>
      </c>
    </row>
    <row r="7" spans="1:4" x14ac:dyDescent="0.25">
      <c r="A7" t="s">
        <v>103</v>
      </c>
      <c r="B7" t="s">
        <v>104</v>
      </c>
      <c r="C7" t="s">
        <v>81</v>
      </c>
    </row>
    <row r="8" spans="1:4" x14ac:dyDescent="0.25">
      <c r="A8" t="s">
        <v>105</v>
      </c>
      <c r="B8" t="s">
        <v>106</v>
      </c>
      <c r="C8" t="s">
        <v>81</v>
      </c>
      <c r="D8" t="s">
        <v>107</v>
      </c>
    </row>
    <row r="9" spans="1:4" x14ac:dyDescent="0.25">
      <c r="A9" t="s">
        <v>108</v>
      </c>
      <c r="B9" t="s">
        <v>109</v>
      </c>
      <c r="C9" s="4" t="s">
        <v>80</v>
      </c>
    </row>
    <row r="10" spans="1:4" x14ac:dyDescent="0.25">
      <c r="A10" t="s">
        <v>110</v>
      </c>
      <c r="B10" t="s">
        <v>111</v>
      </c>
      <c r="C10"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F403-640D-824F-B50B-38EF5BDDF430}">
  <dimension ref="A1:H18"/>
  <sheetViews>
    <sheetView topLeftCell="E1" zoomScale="190" zoomScaleNormal="190" workbookViewId="0">
      <selection activeCell="G1" sqref="G1:H1"/>
    </sheetView>
  </sheetViews>
  <sheetFormatPr defaultColWidth="11" defaultRowHeight="15.75" x14ac:dyDescent="0.25"/>
  <cols>
    <col min="4" max="4" width="17.5" customWidth="1"/>
    <col min="5" max="5" width="13.5" customWidth="1"/>
    <col min="6" max="6" width="13.125" customWidth="1"/>
    <col min="7" max="7" width="16.5" customWidth="1"/>
    <col min="8" max="8" width="18.375" customWidth="1"/>
  </cols>
  <sheetData>
    <row r="1" spans="1:8" x14ac:dyDescent="0.25">
      <c r="A1" s="1" t="s">
        <v>112</v>
      </c>
      <c r="B1" s="1" t="s">
        <v>113</v>
      </c>
      <c r="C1" s="1" t="s">
        <v>114</v>
      </c>
      <c r="D1" s="1" t="s">
        <v>115</v>
      </c>
      <c r="E1" s="1" t="s">
        <v>116</v>
      </c>
      <c r="F1" s="1" t="s">
        <v>117</v>
      </c>
      <c r="G1" s="1" t="s">
        <v>74</v>
      </c>
      <c r="H1" s="1" t="s">
        <v>75</v>
      </c>
    </row>
    <row r="2" spans="1:8" x14ac:dyDescent="0.25">
      <c r="A2">
        <v>3445</v>
      </c>
      <c r="B2" t="s">
        <v>118</v>
      </c>
      <c r="C2" t="s">
        <v>119</v>
      </c>
      <c r="D2" t="s">
        <v>120</v>
      </c>
      <c r="E2" t="s">
        <v>121</v>
      </c>
      <c r="F2" t="s">
        <v>121</v>
      </c>
    </row>
    <row r="3" spans="1:8" x14ac:dyDescent="0.25">
      <c r="A3">
        <v>101</v>
      </c>
      <c r="B3" t="s">
        <v>118</v>
      </c>
      <c r="C3">
        <v>513</v>
      </c>
      <c r="D3" t="s">
        <v>94</v>
      </c>
      <c r="E3" t="s">
        <v>122</v>
      </c>
      <c r="F3" t="s">
        <v>122</v>
      </c>
    </row>
    <row r="4" spans="1:8" x14ac:dyDescent="0.25">
      <c r="A4">
        <v>8</v>
      </c>
      <c r="B4" t="s">
        <v>118</v>
      </c>
      <c r="C4">
        <v>513</v>
      </c>
      <c r="D4" t="s">
        <v>123</v>
      </c>
      <c r="E4" t="s">
        <v>121</v>
      </c>
      <c r="F4" t="s">
        <v>122</v>
      </c>
      <c r="G4" t="s">
        <v>83</v>
      </c>
    </row>
    <row r="5" spans="1:8" x14ac:dyDescent="0.25">
      <c r="A5">
        <v>113</v>
      </c>
      <c r="B5" t="s">
        <v>118</v>
      </c>
      <c r="C5" s="3">
        <v>516</v>
      </c>
      <c r="D5" t="s">
        <v>100</v>
      </c>
      <c r="E5" t="s">
        <v>122</v>
      </c>
      <c r="F5" t="s">
        <v>122</v>
      </c>
      <c r="G5" t="s">
        <v>83</v>
      </c>
    </row>
    <row r="6" spans="1:8" x14ac:dyDescent="0.25">
      <c r="A6">
        <v>148</v>
      </c>
      <c r="B6" t="s">
        <v>118</v>
      </c>
      <c r="C6">
        <v>516</v>
      </c>
      <c r="D6" t="s">
        <v>124</v>
      </c>
      <c r="E6" t="s">
        <v>122</v>
      </c>
      <c r="F6" t="s">
        <v>122</v>
      </c>
    </row>
    <row r="7" spans="1:8" x14ac:dyDescent="0.25">
      <c r="A7">
        <v>3051</v>
      </c>
      <c r="B7" t="s">
        <v>118</v>
      </c>
      <c r="C7">
        <v>517</v>
      </c>
      <c r="D7" t="s">
        <v>125</v>
      </c>
      <c r="E7" t="s">
        <v>122</v>
      </c>
      <c r="F7" t="s">
        <v>122</v>
      </c>
    </row>
    <row r="8" spans="1:8" x14ac:dyDescent="0.25">
      <c r="A8">
        <v>3595</v>
      </c>
      <c r="B8" t="s">
        <v>118</v>
      </c>
      <c r="C8">
        <v>522</v>
      </c>
      <c r="D8" t="s">
        <v>126</v>
      </c>
      <c r="E8" t="s">
        <v>122</v>
      </c>
      <c r="F8" t="s">
        <v>121</v>
      </c>
      <c r="G8" t="s">
        <v>83</v>
      </c>
    </row>
    <row r="9" spans="1:8" x14ac:dyDescent="0.25">
      <c r="A9">
        <v>2</v>
      </c>
      <c r="B9" t="s">
        <v>118</v>
      </c>
      <c r="C9">
        <v>526</v>
      </c>
      <c r="D9" t="s">
        <v>106</v>
      </c>
      <c r="E9" t="s">
        <v>122</v>
      </c>
      <c r="F9" t="s">
        <v>121</v>
      </c>
      <c r="G9" t="s">
        <v>83</v>
      </c>
      <c r="H9" t="s">
        <v>83</v>
      </c>
    </row>
    <row r="10" spans="1:8" x14ac:dyDescent="0.25">
      <c r="A10">
        <v>3401</v>
      </c>
      <c r="B10" t="s">
        <v>118</v>
      </c>
      <c r="C10">
        <v>529</v>
      </c>
      <c r="D10" t="s">
        <v>127</v>
      </c>
      <c r="E10" t="s">
        <v>122</v>
      </c>
      <c r="F10" t="s">
        <v>121</v>
      </c>
    </row>
    <row r="11" spans="1:8" x14ac:dyDescent="0.25">
      <c r="A11">
        <v>3402</v>
      </c>
      <c r="B11" t="s">
        <v>118</v>
      </c>
      <c r="C11">
        <v>529</v>
      </c>
      <c r="D11" t="s">
        <v>128</v>
      </c>
      <c r="E11" t="s">
        <v>122</v>
      </c>
      <c r="F11" t="s">
        <v>121</v>
      </c>
    </row>
    <row r="12" spans="1:8" x14ac:dyDescent="0.25">
      <c r="A12">
        <v>114</v>
      </c>
      <c r="B12" t="s">
        <v>118</v>
      </c>
      <c r="C12">
        <v>531</v>
      </c>
      <c r="D12" t="s">
        <v>109</v>
      </c>
      <c r="E12" t="s">
        <v>121</v>
      </c>
      <c r="F12" t="s">
        <v>122</v>
      </c>
      <c r="G12" t="s">
        <v>83</v>
      </c>
    </row>
    <row r="13" spans="1:8" x14ac:dyDescent="0.25">
      <c r="A13">
        <v>3449</v>
      </c>
      <c r="B13" t="s">
        <v>118</v>
      </c>
      <c r="C13">
        <v>532</v>
      </c>
      <c r="D13" t="s">
        <v>129</v>
      </c>
      <c r="E13" t="s">
        <v>121</v>
      </c>
      <c r="F13" t="s">
        <v>122</v>
      </c>
    </row>
    <row r="14" spans="1:8" x14ac:dyDescent="0.25">
      <c r="A14">
        <v>3443</v>
      </c>
      <c r="B14" t="s">
        <v>118</v>
      </c>
      <c r="C14">
        <v>533</v>
      </c>
      <c r="D14" t="s">
        <v>130</v>
      </c>
      <c r="E14" t="s">
        <v>121</v>
      </c>
      <c r="F14" t="s">
        <v>122</v>
      </c>
    </row>
    <row r="15" spans="1:8" x14ac:dyDescent="0.25">
      <c r="A15">
        <v>3370</v>
      </c>
      <c r="B15" t="s">
        <v>131</v>
      </c>
      <c r="C15">
        <v>563</v>
      </c>
      <c r="D15" t="s">
        <v>132</v>
      </c>
      <c r="E15" t="s">
        <v>121</v>
      </c>
      <c r="F15" t="s">
        <v>122</v>
      </c>
    </row>
    <row r="16" spans="1:8" x14ac:dyDescent="0.25">
      <c r="A16">
        <v>111</v>
      </c>
      <c r="B16" t="s">
        <v>131</v>
      </c>
      <c r="C16">
        <v>564</v>
      </c>
      <c r="D16" t="s">
        <v>133</v>
      </c>
      <c r="E16" s="4" t="s">
        <v>134</v>
      </c>
      <c r="F16" t="s">
        <v>122</v>
      </c>
      <c r="H16" t="s">
        <v>83</v>
      </c>
    </row>
    <row r="17" spans="1:7" x14ac:dyDescent="0.25">
      <c r="A17">
        <v>7</v>
      </c>
      <c r="B17" t="s">
        <v>131</v>
      </c>
      <c r="C17">
        <v>572</v>
      </c>
      <c r="D17" t="s">
        <v>135</v>
      </c>
      <c r="E17" t="s">
        <v>122</v>
      </c>
      <c r="F17" t="s">
        <v>122</v>
      </c>
      <c r="G17" t="s">
        <v>83</v>
      </c>
    </row>
    <row r="18" spans="1:7" x14ac:dyDescent="0.25">
      <c r="A18">
        <v>3406</v>
      </c>
      <c r="C18">
        <v>687</v>
      </c>
      <c r="D18" t="s">
        <v>136</v>
      </c>
      <c r="E18" t="s">
        <v>121</v>
      </c>
      <c r="F18" t="s">
        <v>121</v>
      </c>
    </row>
  </sheetData>
  <conditionalFormatting sqref="E2:F18">
    <cfRule type="iconSet" priority="1">
      <iconSet iconSet="3Arrows">
        <cfvo type="percent" val="0"/>
        <cfvo type="percent" val="33"/>
        <cfvo type="percent" val="67"/>
      </iconSet>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531D-F3E9-7443-9620-E6682D08C81E}">
  <dimension ref="A1:I9"/>
  <sheetViews>
    <sheetView zoomScale="190" zoomScaleNormal="190" workbookViewId="0">
      <selection activeCell="G1" sqref="G1:H1"/>
    </sheetView>
  </sheetViews>
  <sheetFormatPr defaultColWidth="11" defaultRowHeight="15.75" x14ac:dyDescent="0.25"/>
  <cols>
    <col min="4" max="4" width="13.875" customWidth="1"/>
    <col min="5" max="5" width="19.5" customWidth="1"/>
    <col min="6" max="6" width="14.5" customWidth="1"/>
    <col min="7" max="7" width="16.5" customWidth="1"/>
    <col min="8" max="8" width="18.625" customWidth="1"/>
  </cols>
  <sheetData>
    <row r="1" spans="1:9" x14ac:dyDescent="0.25">
      <c r="A1" s="1" t="s">
        <v>112</v>
      </c>
      <c r="B1" s="1" t="s">
        <v>113</v>
      </c>
      <c r="C1" s="1" t="s">
        <v>114</v>
      </c>
      <c r="D1" s="1" t="s">
        <v>137</v>
      </c>
      <c r="E1" s="1" t="s">
        <v>138</v>
      </c>
      <c r="F1" s="1" t="s">
        <v>139</v>
      </c>
      <c r="G1" s="1" t="s">
        <v>74</v>
      </c>
      <c r="H1" s="1" t="s">
        <v>75</v>
      </c>
    </row>
    <row r="2" spans="1:9" x14ac:dyDescent="0.25">
      <c r="A2">
        <v>7</v>
      </c>
      <c r="B2" t="s">
        <v>118</v>
      </c>
      <c r="C2">
        <v>473</v>
      </c>
      <c r="D2">
        <v>516</v>
      </c>
      <c r="E2" t="s">
        <v>100</v>
      </c>
    </row>
    <row r="3" spans="1:9" x14ac:dyDescent="0.25">
      <c r="A3">
        <v>8</v>
      </c>
      <c r="B3" t="s">
        <v>118</v>
      </c>
      <c r="C3">
        <v>473</v>
      </c>
      <c r="D3">
        <v>516</v>
      </c>
      <c r="E3" t="s">
        <v>100</v>
      </c>
      <c r="F3" t="s">
        <v>140</v>
      </c>
      <c r="G3" t="s">
        <v>83</v>
      </c>
      <c r="H3" t="s">
        <v>82</v>
      </c>
    </row>
    <row r="4" spans="1:9" x14ac:dyDescent="0.25">
      <c r="A4" s="6">
        <v>5</v>
      </c>
      <c r="B4" s="6" t="s">
        <v>118</v>
      </c>
      <c r="C4" s="6">
        <v>473</v>
      </c>
      <c r="D4" s="6">
        <v>516</v>
      </c>
      <c r="E4" s="6" t="s">
        <v>98</v>
      </c>
      <c r="F4" s="6" t="s">
        <v>140</v>
      </c>
      <c r="G4" s="6" t="s">
        <v>83</v>
      </c>
      <c r="H4" s="6" t="s">
        <v>83</v>
      </c>
    </row>
    <row r="5" spans="1:9" x14ac:dyDescent="0.25">
      <c r="A5">
        <v>20</v>
      </c>
      <c r="B5" t="s">
        <v>118</v>
      </c>
      <c r="C5">
        <v>479</v>
      </c>
      <c r="D5">
        <v>522</v>
      </c>
      <c r="E5" t="s">
        <v>141</v>
      </c>
      <c r="F5" t="s">
        <v>142</v>
      </c>
      <c r="G5" t="s">
        <v>82</v>
      </c>
      <c r="H5" t="s">
        <v>82</v>
      </c>
    </row>
    <row r="6" spans="1:9" x14ac:dyDescent="0.25">
      <c r="A6" s="6">
        <v>22</v>
      </c>
      <c r="B6" s="6" t="s">
        <v>118</v>
      </c>
      <c r="C6" s="6">
        <v>483</v>
      </c>
      <c r="D6" s="6">
        <v>526</v>
      </c>
      <c r="E6" s="6" t="s">
        <v>106</v>
      </c>
      <c r="F6" s="6" t="s">
        <v>143</v>
      </c>
      <c r="G6" s="6" t="s">
        <v>83</v>
      </c>
      <c r="H6" s="6" t="s">
        <v>83</v>
      </c>
    </row>
    <row r="7" spans="1:9" x14ac:dyDescent="0.25">
      <c r="A7">
        <v>23</v>
      </c>
      <c r="B7" t="s">
        <v>118</v>
      </c>
      <c r="C7">
        <v>483</v>
      </c>
      <c r="D7">
        <v>526</v>
      </c>
      <c r="E7" t="s">
        <v>102</v>
      </c>
      <c r="F7" t="s">
        <v>144</v>
      </c>
      <c r="G7" t="s">
        <v>82</v>
      </c>
      <c r="H7" t="s">
        <v>82</v>
      </c>
    </row>
    <row r="8" spans="1:9" x14ac:dyDescent="0.25">
      <c r="A8">
        <v>14</v>
      </c>
      <c r="B8" t="s">
        <v>131</v>
      </c>
      <c r="C8">
        <v>529</v>
      </c>
      <c r="D8">
        <v>572</v>
      </c>
      <c r="E8" t="s">
        <v>135</v>
      </c>
      <c r="F8" t="s">
        <v>143</v>
      </c>
      <c r="G8" t="s">
        <v>83</v>
      </c>
      <c r="H8" t="s">
        <v>82</v>
      </c>
      <c r="I8" t="s">
        <v>145</v>
      </c>
    </row>
    <row r="9" spans="1:9" x14ac:dyDescent="0.25">
      <c r="A9" s="5" t="s">
        <v>146</v>
      </c>
      <c r="B9" t="s">
        <v>131</v>
      </c>
      <c r="C9">
        <v>531</v>
      </c>
      <c r="D9">
        <v>574</v>
      </c>
      <c r="E9" t="s">
        <v>147</v>
      </c>
      <c r="F9" t="s">
        <v>143</v>
      </c>
      <c r="G9" t="s">
        <v>82</v>
      </c>
      <c r="H9" t="s">
        <v>82</v>
      </c>
      <c r="I9" t="s">
        <v>148</v>
      </c>
    </row>
  </sheetData>
  <conditionalFormatting sqref="F2">
    <cfRule type="iconSet" priority="3">
      <iconSet iconSet="3Arrows">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8CBA-5B8E-8C43-A06F-FDE40A95D36E}">
  <dimension ref="A1:D5"/>
  <sheetViews>
    <sheetView zoomScale="160" zoomScaleNormal="160" workbookViewId="0">
      <selection activeCell="A4" sqref="A4"/>
    </sheetView>
  </sheetViews>
  <sheetFormatPr defaultColWidth="11" defaultRowHeight="15.75" x14ac:dyDescent="0.25"/>
  <cols>
    <col min="1" max="1" width="25.5" customWidth="1"/>
    <col min="2" max="2" width="50.375" customWidth="1"/>
    <col min="3" max="3" width="19.875" customWidth="1"/>
    <col min="4" max="4" width="21.5" customWidth="1"/>
  </cols>
  <sheetData>
    <row r="1" spans="1:4" x14ac:dyDescent="0.25">
      <c r="A1" s="1" t="s">
        <v>69</v>
      </c>
      <c r="B1" s="1" t="s">
        <v>149</v>
      </c>
      <c r="C1" s="1" t="s">
        <v>74</v>
      </c>
      <c r="D1" s="1" t="s">
        <v>75</v>
      </c>
    </row>
    <row r="2" spans="1:4" x14ac:dyDescent="0.25">
      <c r="A2" t="s">
        <v>67</v>
      </c>
    </row>
    <row r="3" spans="1:4" x14ac:dyDescent="0.25">
      <c r="A3" t="s">
        <v>150</v>
      </c>
      <c r="C3" t="s">
        <v>83</v>
      </c>
    </row>
    <row r="4" spans="1:4" x14ac:dyDescent="0.25">
      <c r="A4" t="s">
        <v>106</v>
      </c>
      <c r="C4" t="s">
        <v>83</v>
      </c>
      <c r="D4" t="s">
        <v>83</v>
      </c>
    </row>
    <row r="5" spans="1:4" x14ac:dyDescent="0.25">
      <c r="A5" t="s">
        <v>151</v>
      </c>
      <c r="C5" t="s">
        <v>83</v>
      </c>
      <c r="D5"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5CB6A754A4E44785DA21A49EF665A0" ma:contentTypeVersion="3" ma:contentTypeDescription="Create a new document." ma:contentTypeScope="" ma:versionID="8a54ed938ab0513e7a930b7d898c0a5b">
  <xsd:schema xmlns:xsd="http://www.w3.org/2001/XMLSchema" xmlns:xs="http://www.w3.org/2001/XMLSchema" xmlns:p="http://schemas.microsoft.com/office/2006/metadata/properties" xmlns:ns2="f8194c36-ca64-475b-8cb3-00cec58bbf90" targetNamespace="http://schemas.microsoft.com/office/2006/metadata/properties" ma:root="true" ma:fieldsID="6b0bb4952d1cdcfac061472cf3ae1384" ns2:_="">
    <xsd:import namespace="f8194c36-ca64-475b-8cb3-00cec58bbf9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194c36-ca64-475b-8cb3-00cec58bbf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5BFA24-6847-42C9-A4B0-D3452A69DB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194c36-ca64-475b-8cb3-00cec58bbf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D6D336-B253-4F96-832F-955193B4DE2D}">
  <ds:schemaRefs>
    <ds:schemaRef ds:uri="http://schemas.microsoft.com/sharepoint/v3/contenttype/forms"/>
  </ds:schemaRefs>
</ds:datastoreItem>
</file>

<file path=customXml/itemProps3.xml><?xml version="1.0" encoding="utf-8"?>
<ds:datastoreItem xmlns:ds="http://schemas.openxmlformats.org/officeDocument/2006/customXml" ds:itemID="{F696F4F7-5925-4090-B9BA-CF3B9DF4C66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28 Mutants that were picked</vt:lpstr>
      <vt:lpstr>Yang et al. 2023</vt:lpstr>
      <vt:lpstr>Qi et al. 2014</vt:lpstr>
      <vt:lpstr>data from Jin &amp; Gross 1989</vt:lpstr>
      <vt:lpstr>data from Morse et al. 1999</vt:lpstr>
      <vt:lpstr>data from Ghenu et al.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Engelstaedter</dc:creator>
  <cp:keywords/>
  <dc:description/>
  <cp:lastModifiedBy>Ziqing Liu</cp:lastModifiedBy>
  <cp:revision/>
  <dcterms:created xsi:type="dcterms:W3CDTF">2025-08-22T22:01:09Z</dcterms:created>
  <dcterms:modified xsi:type="dcterms:W3CDTF">2026-08-18T03:48:13Z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2025-08-22T22:03:50Z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fee23ac2-a73b-4c59-846f-da0360799ffc</vt:lpwstr>
  </property>
  <property fmtid="{D5CDD505-2E9C-101B-9397-08002B2CF9AE}" pid="8" name="MSIP_Label_0f488380-630a-4f55-a077-a19445e3f360_ContentBits">
    <vt:lpwstr>0</vt:lpwstr>
  </property>
  <property fmtid="{D5CDD505-2E9C-101B-9397-08002B2CF9AE}" pid="9" name="ContentTypeId">
    <vt:lpwstr>0x010100FB5CB6A754A4E44785DA21A49EF665A0</vt:lpwstr>
  </property>
</Properties>
</file>